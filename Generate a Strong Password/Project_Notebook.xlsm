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LIWER\AppData\Local\Temp\"/>
    </mc:Choice>
  </mc:AlternateContent>
  <xr:revisionPtr revIDLastSave="0" documentId="13_ncr:1_{FF7FC050-D021-4B60-85F4-E8F7A3CD1BE3}" xr6:coauthVersionLast="47" xr6:coauthVersionMax="47" xr10:uidLastSave="{00000000-0000-0000-0000-000000000000}"/>
  <bookViews>
    <workbookView xWindow="3075" yWindow="3075" windowWidth="16200" windowHeight="9810" firstSheet="5" activeTab="5" xr2:uid="{00000000-000D-0000-FFFF-FFFF00000000}"/>
  </bookViews>
  <sheets>
    <sheet name="Scratchpad" sheetId="13" state="hidden" r:id="rId1"/>
    <sheet name="Date" sheetId="14" state="hidden" r:id="rId2"/>
    <sheet name="Text" sheetId="15" state="hidden" r:id="rId3"/>
    <sheet name="Number" sheetId="16" state="hidden" r:id="rId4"/>
    <sheet name="File" sheetId="17" state="hidden" r:id="rId5"/>
    <sheet name="Scratchpad (2)" sheetId="19" r:id="rId6"/>
  </sheets>
  <functionGroups builtInGroupCount="19"/>
  <definedNames>
    <definedName name="_A1">Scratchpad!$A$1</definedName>
    <definedName name="_A2">Scratchpad!$A$2</definedName>
    <definedName name="_A3">Scratchpad!$A$3</definedName>
    <definedName name="CleanNumber">Number!$B$5</definedName>
    <definedName name="Contains">Text!$B$13</definedName>
    <definedName name="Date_Input">Date!$B$4</definedName>
    <definedName name="DatePlusDays">Date!$B$8</definedName>
    <definedName name="DatePlusWorkingDays">Date!$B$9</definedName>
    <definedName name="DateText">Date!$B$19</definedName>
    <definedName name="Days">Date!$B$7</definedName>
    <definedName name="FileExtension">File!$B$9</definedName>
    <definedName name="FileName">File!$B$8</definedName>
    <definedName name="FileNameNoExtension">File!$B$10</definedName>
    <definedName name="FirstName">Text!$B$15</definedName>
    <definedName name="Folder">File!$B$11</definedName>
    <definedName name="FullFileName_Input">File!$B$6</definedName>
    <definedName name="Int">Number!$B$6</definedName>
    <definedName name="LastMonthEndDate">Date!$C$14</definedName>
    <definedName name="LastMonthStartDate">Date!$B$14</definedName>
    <definedName name="LastName">Text!$B$16</definedName>
    <definedName name="LastWeekFriday">Date!$C$13</definedName>
    <definedName name="LastWeekMonday">Date!$B$13</definedName>
    <definedName name="LastWeekSunday">Date!$D$13</definedName>
    <definedName name="Length">Text!$B$6</definedName>
    <definedName name="LowerCase">Text!$B$8</definedName>
    <definedName name="Number_Input">Number!$B$4</definedName>
    <definedName name="NumberText_Input">Number!$B$11</definedName>
    <definedName name="preferred_date_format">Date!$B$6</definedName>
    <definedName name="ReformattedDate">Date!$B$31</definedName>
    <definedName name="ReformattedFileName">File!$B$15</definedName>
    <definedName name="ReformattedNumber">Number!$B$15</definedName>
    <definedName name="Replace">Text!$B$11</definedName>
    <definedName name="Result">Text!$B$12</definedName>
    <definedName name="Search">Text!$B$10</definedName>
    <definedName name="Text_Input">Text!$B$4</definedName>
    <definedName name="ThisMonthFirstWorkingDay">Date!$B$15</definedName>
    <definedName name="ThisMonthLastWorkingDay">Date!$C$15</definedName>
    <definedName name="Today">Date!$B$12</definedName>
    <definedName name="Trimmed">Text!$B$5</definedName>
    <definedName name="TwoDecimals">Number!$B$7</definedName>
    <definedName name="UpperCase">Text!$B$7</definedName>
    <definedName name="YYYYMMDD">Date!$B$10</definedName>
  </definedNames>
  <calcPr calcId="191029"/>
</workbook>
</file>

<file path=xl/calcChain.xml><?xml version="1.0" encoding="utf-8"?>
<calcChain xmlns="http://schemas.openxmlformats.org/spreadsheetml/2006/main">
  <c r="B8" i="17" l="1"/>
  <c r="B11" i="17" s="1"/>
  <c r="B15" i="16"/>
  <c r="B5" i="16"/>
  <c r="B16" i="15"/>
  <c r="B15" i="15" s="1"/>
  <c r="B13" i="15"/>
  <c r="B12" i="15"/>
  <c r="F9" i="15"/>
  <c r="F8" i="15"/>
  <c r="B8" i="15"/>
  <c r="F7" i="15"/>
  <c r="B7" i="15"/>
  <c r="F6" i="15"/>
  <c r="B6" i="15"/>
  <c r="F5" i="15"/>
  <c r="B5" i="15"/>
  <c r="B30" i="14"/>
  <c r="F26" i="14"/>
  <c r="B23" i="14"/>
  <c r="B26" i="14" s="1"/>
  <c r="C15" i="14"/>
  <c r="B15" i="14"/>
  <c r="C14" i="14"/>
  <c r="B14" i="14"/>
  <c r="B13" i="14"/>
  <c r="B12" i="14"/>
  <c r="B4" i="14"/>
  <c r="B7" i="16" l="1"/>
  <c r="C13" i="14"/>
  <c r="B10" i="14"/>
  <c r="C23" i="14"/>
  <c r="B24" i="14" s="1"/>
  <c r="B27" i="14" s="1"/>
  <c r="B9" i="17"/>
  <c r="B10" i="17" s="1"/>
  <c r="B15" i="17" s="1"/>
  <c r="B6" i="16"/>
  <c r="B8" i="14"/>
  <c r="B9" i="14"/>
  <c r="D23" i="14"/>
  <c r="B25" i="14" s="1"/>
  <c r="B28" i="14" s="1"/>
  <c r="B31" i="14" s="1"/>
  <c r="D13" i="14" l="1"/>
</calcChain>
</file>

<file path=xl/sharedStrings.xml><?xml version="1.0" encoding="utf-8"?>
<sst xmlns="http://schemas.openxmlformats.org/spreadsheetml/2006/main" count="99" uniqueCount="78">
  <si>
    <t>Date Operations</t>
  </si>
  <si>
    <t>Formulas for working with dates
Note: All dates are formatted using TEXT() to avoid formatting issues that can occur due to differences in formatting preferences</t>
  </si>
  <si>
    <t>Date (input)</t>
  </si>
  <si>
    <t>Preferred Format</t>
  </si>
  <si>
    <t>yyyy-mm-dd</t>
  </si>
  <si>
    <t>Days</t>
  </si>
  <si>
    <t>Date plus a number of days</t>
  </si>
  <si>
    <t>Date plus a number of working days</t>
  </si>
  <si>
    <t>Date Format (YYYYMMDD)</t>
  </si>
  <si>
    <t>Today</t>
  </si>
  <si>
    <t>Last week's dates (Monday, Friday, Sunday)</t>
  </si>
  <si>
    <t>Last month's dates (First and Last)</t>
  </si>
  <si>
    <t>First / Last business day this month</t>
  </si>
  <si>
    <t>Converts text to a date, in a locale-independent way</t>
  </si>
  <si>
    <t>Inputs</t>
  </si>
  <si>
    <t>Text</t>
  </si>
  <si>
    <t>2008年12月31日 (水)</t>
  </si>
  <si>
    <t>Separator</t>
  </si>
  <si>
    <t>年</t>
  </si>
  <si>
    <t>月</t>
  </si>
  <si>
    <t>日</t>
  </si>
  <si>
    <t>Format</t>
  </si>
  <si>
    <t>YMD</t>
  </si>
  <si>
    <t>Calculated Values</t>
  </si>
  <si>
    <t>1st token</t>
  </si>
  <si>
    <t>2nd token</t>
  </si>
  <si>
    <t>3rd token</t>
  </si>
  <si>
    <t>Extracted Year</t>
  </si>
  <si>
    <t>Extracted Month</t>
  </si>
  <si>
    <t>Extracted Day</t>
  </si>
  <si>
    <t>Output</t>
  </si>
  <si>
    <t xml:space="preserve">   Output Date Format</t>
  </si>
  <si>
    <t>Reformatted Date</t>
  </si>
  <si>
    <t>Text Operations</t>
  </si>
  <si>
    <t>Formulas for working with text</t>
  </si>
  <si>
    <t>Text (input)</t>
  </si>
  <si>
    <t>John C. Doe</t>
  </si>
  <si>
    <t xml:space="preserve"> </t>
  </si>
  <si>
    <t>Text to the left</t>
  </si>
  <si>
    <t>Text to the right</t>
  </si>
  <si>
    <t>Extracted text</t>
  </si>
  <si>
    <t>Trimmed</t>
  </si>
  <si>
    <t>John</t>
  </si>
  <si>
    <t>Doe</t>
  </si>
  <si>
    <t>Length</t>
  </si>
  <si>
    <t>Upper case</t>
  </si>
  <si>
    <t>Lower case</t>
  </si>
  <si>
    <t>John C.</t>
  </si>
  <si>
    <t>Search</t>
  </si>
  <si>
    <t>Replace</t>
  </si>
  <si>
    <t>Mary</t>
  </si>
  <si>
    <t>Result</t>
  </si>
  <si>
    <t>Contains?</t>
  </si>
  <si>
    <t>First Name</t>
  </si>
  <si>
    <t>Last Name</t>
  </si>
  <si>
    <t>Number Operations</t>
  </si>
  <si>
    <t>Formulas for working with numbers</t>
  </si>
  <si>
    <t>Number (input)</t>
  </si>
  <si>
    <t>Cleaned Up</t>
  </si>
  <si>
    <t>Int</t>
  </si>
  <si>
    <t>2 decimals</t>
  </si>
  <si>
    <t>Converts text to a number, in a locale-independent way</t>
  </si>
  <si>
    <t>123.456,78</t>
  </si>
  <si>
    <t>Decimal Separator</t>
  </si>
  <si>
    <t>,</t>
  </si>
  <si>
    <t>Group Separator</t>
  </si>
  <si>
    <t>.</t>
  </si>
  <si>
    <t>Reformatted Number</t>
  </si>
  <si>
    <t>File System Helpers</t>
  </si>
  <si>
    <t>Formulas for working with file names and paths</t>
  </si>
  <si>
    <t>Splits a full file name to get its folder and extension</t>
  </si>
  <si>
    <t>Input</t>
  </si>
  <si>
    <t>File name</t>
  </si>
  <si>
    <t>C:\temp\Untitled Document.docx</t>
  </si>
  <si>
    <t>File extension</t>
  </si>
  <si>
    <t>File name no extension</t>
  </si>
  <si>
    <t>Folder</t>
  </si>
  <si>
    <t>Reformatted File Name: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</si>
</sst>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###,000"/>
  </numFmts>
  <fonts count="8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7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222222"/>
      <name val="Arial"/>
      <family val="2"/>
    </font>
    <font>
      <sz val="72"/>
      <color theme="0"/>
      <name val="Cambria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  <fill>
      <patternFill patternType="solid">
        <fgColor rgb="FF00819D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" fillId="0" borderId="0"/>
    <xf numFmtId="0" fontId="4" fillId="2" borderId="0" applyNumberFormat="0" applyProtection="0">
      <alignment horizontal="left" wrapText="1" indent="4"/>
    </xf>
    <xf numFmtId="164" fontId="1" fillId="0" borderId="0" applyFont="0" applyFill="0" applyBorder="0" applyAlignment="0" applyProtection="0"/>
    <xf numFmtId="0" fontId="7" fillId="2" borderId="0" applyNumberFormat="0" applyBorder="0" applyProtection="0">
      <alignment horizontal="left" indent="1"/>
    </xf>
  </cellStyleXfs>
  <cellXfs count="34">
    <xf numFmtId="0" fontId="0" fillId="0" borderId="0" xfId="0"/>
    <xf numFmtId="0" fontId="1" fillId="0" borderId="0" xfId="1"/>
    <xf numFmtId="0" fontId="5" fillId="3" borderId="0" xfId="2" applyFont="1" applyFill="1" applyAlignment="1">
      <alignment horizontal="left" vertical="top" wrapText="1"/>
    </xf>
    <xf numFmtId="0" fontId="3" fillId="3" borderId="0" xfId="2" applyFont="1" applyFill="1" applyAlignment="1">
      <alignment horizontal="left" vertical="top" wrapText="1"/>
    </xf>
    <xf numFmtId="0" fontId="3" fillId="3" borderId="0" xfId="2" applyFont="1" applyFill="1" applyAlignment="1">
      <alignment horizontal="left" vertical="top"/>
    </xf>
    <xf numFmtId="16" fontId="1" fillId="0" borderId="0" xfId="1" applyNumberFormat="1"/>
    <xf numFmtId="14" fontId="1" fillId="0" borderId="0" xfId="1" applyNumberFormat="1"/>
    <xf numFmtId="14" fontId="1" fillId="0" borderId="0" xfId="1" applyNumberFormat="1" applyAlignment="1">
      <alignment horizontal="right"/>
    </xf>
    <xf numFmtId="0" fontId="1" fillId="0" borderId="0" xfId="1" applyAlignment="1">
      <alignment horizontal="right"/>
    </xf>
    <xf numFmtId="14" fontId="1" fillId="0" borderId="0" xfId="1" applyNumberFormat="1" applyAlignment="1">
      <alignment horizontal="left" indent="1"/>
    </xf>
    <xf numFmtId="0" fontId="2" fillId="0" borderId="1" xfId="1" applyFont="1" applyBorder="1" applyAlignment="1">
      <alignment horizontal="left" wrapText="1"/>
    </xf>
    <xf numFmtId="0" fontId="2" fillId="0" borderId="2" xfId="1" applyFont="1" applyBorder="1" applyAlignment="1">
      <alignment horizontal="left" wrapText="1"/>
    </xf>
    <xf numFmtId="0" fontId="2" fillId="0" borderId="3" xfId="1" applyFont="1" applyBorder="1" applyAlignment="1">
      <alignment horizontal="left" wrapText="1"/>
    </xf>
    <xf numFmtId="0" fontId="2" fillId="0" borderId="4" xfId="1" applyFont="1" applyBorder="1"/>
    <xf numFmtId="0" fontId="1" fillId="0" borderId="5" xfId="1" applyBorder="1"/>
    <xf numFmtId="0" fontId="1" fillId="0" borderId="4" xfId="1" applyBorder="1" applyAlignment="1">
      <alignment horizontal="left" indent="1"/>
    </xf>
    <xf numFmtId="0" fontId="6" fillId="0" borderId="0" xfId="1" applyFont="1" applyAlignment="1">
      <alignment horizontal="left"/>
    </xf>
    <xf numFmtId="0" fontId="6" fillId="0" borderId="5" xfId="1" applyFont="1" applyBorder="1" applyAlignment="1">
      <alignment horizontal="left"/>
    </xf>
    <xf numFmtId="0" fontId="1" fillId="0" borderId="0" xfId="1" quotePrefix="1"/>
    <xf numFmtId="0" fontId="2" fillId="0" borderId="4" xfId="1" applyFont="1" applyBorder="1" applyAlignment="1">
      <alignment horizontal="left"/>
    </xf>
    <xf numFmtId="0" fontId="1" fillId="0" borderId="4" xfId="1" applyBorder="1" applyAlignment="1">
      <alignment horizontal="left"/>
    </xf>
    <xf numFmtId="0" fontId="1" fillId="0" borderId="6" xfId="1" applyBorder="1" applyAlignment="1">
      <alignment horizontal="left" indent="1"/>
    </xf>
    <xf numFmtId="14" fontId="1" fillId="0" borderId="7" xfId="1" applyNumberFormat="1" applyBorder="1"/>
    <xf numFmtId="0" fontId="1" fillId="0" borderId="7" xfId="1" applyBorder="1"/>
    <xf numFmtId="0" fontId="1" fillId="0" borderId="8" xfId="1" applyBorder="1"/>
    <xf numFmtId="0" fontId="2" fillId="0" borderId="0" xfId="1" applyFont="1"/>
    <xf numFmtId="0" fontId="1" fillId="0" borderId="0" xfId="1" applyAlignment="1">
      <alignment wrapText="1"/>
    </xf>
    <xf numFmtId="0" fontId="0" fillId="0" borderId="0" xfId="3" applyNumberFormat="1" applyFont="1"/>
    <xf numFmtId="0" fontId="5" fillId="0" borderId="0" xfId="2" applyFont="1" applyFill="1" applyAlignment="1">
      <alignment horizontal="left" vertical="top" wrapText="1"/>
    </xf>
    <xf numFmtId="0" fontId="3" fillId="0" borderId="0" xfId="2" applyFont="1" applyFill="1" applyAlignment="1">
      <alignment horizontal="left" vertical="top" wrapText="1"/>
    </xf>
    <xf numFmtId="165" fontId="1" fillId="0" borderId="0" xfId="1" applyNumberFormat="1"/>
    <xf numFmtId="164" fontId="0" fillId="0" borderId="8" xfId="3" applyFont="1" applyBorder="1"/>
    <xf numFmtId="0" fontId="1" fillId="0" borderId="9" xfId="1" applyBorder="1" applyAlignment="1">
      <alignment horizontal="left" indent="1"/>
    </xf>
    <xf numFmtId="0" fontId="1" fillId="0" borderId="10" xfId="1" applyBorder="1"/>
  </cellXfs>
  <cellStyles count="5">
    <cellStyle name="Heading 1 2" xfId="2" xr:uid="{2E2D7E01-70F0-4ABA-94AA-7FC24C6D78F2}"/>
    <cellStyle name="Normal" xfId="0" builtinId="0"/>
    <cellStyle name="Normal 2" xfId="1" xr:uid="{E6B3470B-1692-4556-9103-7F85B9103FAE}"/>
    <cellStyle name="Title 2" xfId="4" xr:uid="{19699CBE-17C1-4933-A186-BE82D2F7937F}"/>
    <cellStyle name="Vírgula 2" xfId="3" xr:uid="{0B802754-3AA2-41A6-801B-9BD4405E3303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82DE8-3337-4FD9-80DA-7DBA94652E41}">
  <dimension ref="A1"/>
  <sheetViews>
    <sheetView workbookViewId="0"/>
  </sheetViews>
  <sheetFormatPr defaultRowHeight="15" x14ac:dyDescent="0.25"/>
  <cols>
    <col min="1" max="1" width="29.7109375" style="1" customWidth="1"/>
    <col min="2" max="2" width="23.5703125" style="1" customWidth="1"/>
    <col min="3" max="16384" width="9.140625" style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1918F-3BF0-4C0D-AA64-6675F703C489}">
  <dimension ref="A1:F31"/>
  <sheetViews>
    <sheetView workbookViewId="0">
      <selection activeCell="B4" sqref="B4"/>
    </sheetView>
  </sheetViews>
  <sheetFormatPr defaultRowHeight="15" x14ac:dyDescent="0.25"/>
  <cols>
    <col min="1" max="1" width="41.5703125" style="1" customWidth="1"/>
    <col min="2" max="2" width="17.7109375" style="1" customWidth="1"/>
    <col min="3" max="4" width="12.42578125" style="1" customWidth="1"/>
    <col min="5" max="5" width="9.140625" style="1"/>
    <col min="6" max="6" width="17.7109375" style="1" bestFit="1" customWidth="1"/>
    <col min="7" max="9" width="14.42578125" style="1" customWidth="1"/>
    <col min="10" max="16384" width="9.140625" style="1"/>
  </cols>
  <sheetData>
    <row r="1" spans="1:4" ht="18.75" x14ac:dyDescent="0.25">
      <c r="A1" s="2" t="s">
        <v>0</v>
      </c>
      <c r="B1" s="2"/>
      <c r="C1" s="2"/>
      <c r="D1" s="2"/>
    </row>
    <row r="2" spans="1:4" ht="51" customHeight="1" x14ac:dyDescent="0.25">
      <c r="A2" s="3" t="s">
        <v>1</v>
      </c>
      <c r="B2" s="4"/>
      <c r="C2" s="4"/>
      <c r="D2" s="4"/>
    </row>
    <row r="3" spans="1:4" x14ac:dyDescent="0.25">
      <c r="A3" s="5"/>
    </row>
    <row r="4" spans="1:4" x14ac:dyDescent="0.25">
      <c r="A4" s="5" t="s">
        <v>2</v>
      </c>
      <c r="B4" s="6">
        <f ca="1">TODAY()</f>
        <v>44945</v>
      </c>
    </row>
    <row r="6" spans="1:4" x14ac:dyDescent="0.25">
      <c r="A6" s="1" t="s">
        <v>3</v>
      </c>
      <c r="B6" s="1" t="s">
        <v>4</v>
      </c>
    </row>
    <row r="7" spans="1:4" x14ac:dyDescent="0.25">
      <c r="A7" s="1" t="s">
        <v>5</v>
      </c>
      <c r="B7" s="1">
        <v>7</v>
      </c>
    </row>
    <row r="8" spans="1:4" x14ac:dyDescent="0.25">
      <c r="A8" s="1" t="s">
        <v>6</v>
      </c>
      <c r="B8" s="7" t="str">
        <f ca="1">TEXT(Date_Input+Days, preferred_date_format)</f>
        <v>2023-01-26</v>
      </c>
    </row>
    <row r="9" spans="1:4" x14ac:dyDescent="0.25">
      <c r="A9" s="1" t="s">
        <v>7</v>
      </c>
      <c r="B9" s="7" t="str">
        <f ca="1">TEXT(WORKDAY(Date_Input, Days),preferred_date_format)</f>
        <v>2023-01-30</v>
      </c>
    </row>
    <row r="10" spans="1:4" x14ac:dyDescent="0.25">
      <c r="A10" s="1" t="s">
        <v>8</v>
      </c>
      <c r="B10" s="8" t="str">
        <f ca="1">TEXT(Date_Input,"YYYYMMDD")</f>
        <v>20230119</v>
      </c>
    </row>
    <row r="12" spans="1:4" x14ac:dyDescent="0.25">
      <c r="A12" s="1" t="s">
        <v>9</v>
      </c>
      <c r="B12" s="7" t="str">
        <f ca="1">TEXT(TODAY(), preferred_date_format)</f>
        <v>2023-01-19</v>
      </c>
    </row>
    <row r="13" spans="1:4" x14ac:dyDescent="0.25">
      <c r="A13" s="1" t="s">
        <v>10</v>
      </c>
      <c r="B13" s="7" t="str">
        <f ca="1">TEXT(TODAY()-WEEKDAY(TODAY(),2)-6, preferred_date_format)</f>
        <v>2023-01-09</v>
      </c>
      <c r="C13" s="7" t="str">
        <f ca="1">TEXT(LastWeekMonday+4, preferred_date_format)</f>
        <v>2023-01-13</v>
      </c>
      <c r="D13" s="9" t="str">
        <f ca="1">TEXT(LastWeekFriday+2, preferred_date_format)</f>
        <v>2023-01-15</v>
      </c>
    </row>
    <row r="14" spans="1:4" x14ac:dyDescent="0.25">
      <c r="A14" s="1" t="s">
        <v>11</v>
      </c>
      <c r="B14" s="7" t="str">
        <f ca="1">TEXT(DATE(YEAR(TODAY()), MONTH(TODAY())-1, 1), preferred_date_format)</f>
        <v>2022-12-01</v>
      </c>
      <c r="C14" s="7" t="str">
        <f ca="1">TEXT(DATE(YEAR(TODAY()), MONTH(TODAY()), 0), preferred_date_format)</f>
        <v>2022-12-31</v>
      </c>
    </row>
    <row r="15" spans="1:4" x14ac:dyDescent="0.25">
      <c r="A15" s="1" t="s">
        <v>12</v>
      </c>
      <c r="B15" s="7" t="str">
        <f ca="1">TEXT(WORKDAY(DATE(YEAR(TODAY()),MONTH(TODAY()),1)-1,1), preferred_date_format)</f>
        <v>2023-01-02</v>
      </c>
      <c r="C15" s="7" t="str">
        <f ca="1">TEXT(WORKDAY(DATE(YEAR(TODAY()),MONTH(TODAY())+1,1),-1), preferred_date_format)</f>
        <v>2023-01-31</v>
      </c>
    </row>
    <row r="16" spans="1:4" ht="15.75" thickBot="1" x14ac:dyDescent="0.3"/>
    <row r="17" spans="1:6" ht="15.75" thickBot="1" x14ac:dyDescent="0.3">
      <c r="A17" s="10" t="s">
        <v>13</v>
      </c>
      <c r="B17" s="11"/>
      <c r="C17" s="11"/>
      <c r="D17" s="12"/>
    </row>
    <row r="18" spans="1:6" x14ac:dyDescent="0.25">
      <c r="A18" s="13" t="s">
        <v>14</v>
      </c>
      <c r="D18" s="14"/>
    </row>
    <row r="19" spans="1:6" x14ac:dyDescent="0.25">
      <c r="A19" s="15" t="s">
        <v>15</v>
      </c>
      <c r="B19" s="16" t="s">
        <v>16</v>
      </c>
      <c r="C19" s="16"/>
      <c r="D19" s="17"/>
    </row>
    <row r="20" spans="1:6" x14ac:dyDescent="0.25">
      <c r="A20" s="15" t="s">
        <v>17</v>
      </c>
      <c r="B20" s="18" t="s">
        <v>18</v>
      </c>
      <c r="C20" s="1" t="s">
        <v>19</v>
      </c>
      <c r="D20" s="14" t="s">
        <v>20</v>
      </c>
    </row>
    <row r="21" spans="1:6" x14ac:dyDescent="0.25">
      <c r="A21" s="15" t="s">
        <v>21</v>
      </c>
      <c r="B21" s="1" t="s">
        <v>22</v>
      </c>
      <c r="D21" s="14"/>
    </row>
    <row r="22" spans="1:6" x14ac:dyDescent="0.25">
      <c r="A22" s="19" t="s">
        <v>23</v>
      </c>
      <c r="D22" s="14"/>
    </row>
    <row r="23" spans="1:6" x14ac:dyDescent="0.25">
      <c r="A23" s="15" t="s">
        <v>24</v>
      </c>
      <c r="B23" s="1" t="str">
        <f>LEFT(B19, FIND(B20, B19)-1)</f>
        <v>2008</v>
      </c>
      <c r="C23" s="1" t="str">
        <f>RIGHT(B19, LEN(B19)-LEN(B23)-1)</f>
        <v>12月31日 (水)</v>
      </c>
      <c r="D23" s="14" t="str">
        <f>IF(D20&lt;&gt;"", LEFT(C23, FIND(D20, C23)-1), C23)</f>
        <v>12月31</v>
      </c>
    </row>
    <row r="24" spans="1:6" x14ac:dyDescent="0.25">
      <c r="A24" s="15" t="s">
        <v>25</v>
      </c>
      <c r="B24" s="1" t="str">
        <f>LEFT(C23, FIND(C20, C23)-1)</f>
        <v>12</v>
      </c>
      <c r="D24" s="14"/>
    </row>
    <row r="25" spans="1:6" x14ac:dyDescent="0.25">
      <c r="A25" s="15" t="s">
        <v>26</v>
      </c>
      <c r="B25" s="1" t="str">
        <f>RIGHT(D23, LEN(D23)-LEN(B24)-1)</f>
        <v>31</v>
      </c>
      <c r="D25" s="14"/>
    </row>
    <row r="26" spans="1:6" x14ac:dyDescent="0.25">
      <c r="A26" s="15" t="s">
        <v>27</v>
      </c>
      <c r="B26" s="1" t="str">
        <f>IF(FIND("Y", B21) = 1, B23, IF(FIND("Y", B21) = 2, B24, B25))</f>
        <v>2008</v>
      </c>
      <c r="D26" s="14"/>
      <c r="F26" s="1">
        <f>FIND("Y", B21)</f>
        <v>1</v>
      </c>
    </row>
    <row r="27" spans="1:6" x14ac:dyDescent="0.25">
      <c r="A27" s="15" t="s">
        <v>28</v>
      </c>
      <c r="B27" s="1" t="str">
        <f>IF(FIND("M", B21) = 1, B23, IF(FIND("M", B21) = 2, B24, B25))</f>
        <v>12</v>
      </c>
      <c r="D27" s="14"/>
    </row>
    <row r="28" spans="1:6" x14ac:dyDescent="0.25">
      <c r="A28" s="15" t="s">
        <v>29</v>
      </c>
      <c r="B28" s="1" t="str">
        <f>IF(FIND("D", B21) = 1, B23, IF(FIND("D", B21) = 2, B24, B25))</f>
        <v>31</v>
      </c>
      <c r="D28" s="14"/>
    </row>
    <row r="29" spans="1:6" x14ac:dyDescent="0.25">
      <c r="A29" s="19" t="s">
        <v>30</v>
      </c>
      <c r="D29" s="14"/>
    </row>
    <row r="30" spans="1:6" x14ac:dyDescent="0.25">
      <c r="A30" s="20" t="s">
        <v>31</v>
      </c>
      <c r="B30" s="1" t="str">
        <f>preferred_date_format</f>
        <v>yyyy-mm-dd</v>
      </c>
      <c r="D30" s="14"/>
    </row>
    <row r="31" spans="1:6" ht="15.75" thickBot="1" x14ac:dyDescent="0.3">
      <c r="A31" s="21" t="s">
        <v>32</v>
      </c>
      <c r="B31" s="22" t="str">
        <f>TEXT(DATE(B26, B27, B28), B30)</f>
        <v>2008-12-31</v>
      </c>
      <c r="C31" s="23"/>
      <c r="D31" s="24"/>
    </row>
  </sheetData>
  <mergeCells count="4">
    <mergeCell ref="A1:D1"/>
    <mergeCell ref="A2:D2"/>
    <mergeCell ref="A17:D17"/>
    <mergeCell ref="B19:D19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DAA23-2BFA-426C-89E3-B96E257143EF}">
  <dimension ref="A1:F17"/>
  <sheetViews>
    <sheetView workbookViewId="0">
      <selection activeCell="B4" sqref="B4"/>
    </sheetView>
  </sheetViews>
  <sheetFormatPr defaultRowHeight="15" x14ac:dyDescent="0.25"/>
  <cols>
    <col min="1" max="1" width="20.28515625" style="1" bestFit="1" customWidth="1"/>
    <col min="2" max="2" width="40.85546875" style="1" customWidth="1"/>
    <col min="3" max="3" width="9.140625" style="1"/>
    <col min="4" max="4" width="14.28515625" style="1" bestFit="1" customWidth="1"/>
    <col min="5" max="5" width="15.28515625" style="1" bestFit="1" customWidth="1"/>
    <col min="6" max="7" width="13.42578125" style="1" bestFit="1" customWidth="1"/>
    <col min="8" max="16384" width="9.140625" style="1"/>
  </cols>
  <sheetData>
    <row r="1" spans="1:6" ht="18.75" x14ac:dyDescent="0.25">
      <c r="A1" s="2" t="s">
        <v>33</v>
      </c>
      <c r="B1" s="2"/>
      <c r="C1" s="2"/>
      <c r="D1" s="2"/>
      <c r="E1" s="2"/>
      <c r="F1" s="2"/>
    </row>
    <row r="2" spans="1:6" s="25" customFormat="1" ht="15" customHeight="1" x14ac:dyDescent="0.25">
      <c r="A2" s="3" t="s">
        <v>34</v>
      </c>
      <c r="B2" s="3"/>
      <c r="C2" s="3"/>
      <c r="D2" s="3"/>
      <c r="E2" s="3"/>
      <c r="F2" s="3"/>
    </row>
    <row r="4" spans="1:6" x14ac:dyDescent="0.25">
      <c r="A4" s="1" t="s">
        <v>35</v>
      </c>
      <c r="B4" s="26" t="s">
        <v>36</v>
      </c>
      <c r="C4" s="1" t="s">
        <v>37</v>
      </c>
      <c r="D4" s="25" t="s">
        <v>38</v>
      </c>
      <c r="E4" s="25" t="s">
        <v>39</v>
      </c>
      <c r="F4" s="25" t="s">
        <v>40</v>
      </c>
    </row>
    <row r="5" spans="1:6" x14ac:dyDescent="0.25">
      <c r="A5" s="1" t="s">
        <v>41</v>
      </c>
      <c r="B5" s="1" t="str">
        <f>TRIM(B4)</f>
        <v>John C. Doe</v>
      </c>
      <c r="C5" s="1" t="s">
        <v>37</v>
      </c>
      <c r="D5" s="1" t="s">
        <v>42</v>
      </c>
      <c r="E5" s="1" t="s">
        <v>43</v>
      </c>
      <c r="F5" s="27" t="str">
        <f>TRIM(MID(Text_Input, FIND(D5,Text_Input)+LEN(D5), IFERROR(FIND(IF(E5="",CHAR(10),E5),Text_Input,FIND(D5,Text_Input)+LEN(D5)),LEN(Text_Input)+1)-FIND(D5,Text_Input)-LEN(D5)))</f>
        <v>C.</v>
      </c>
    </row>
    <row r="6" spans="1:6" x14ac:dyDescent="0.25">
      <c r="A6" s="1" t="s">
        <v>44</v>
      </c>
      <c r="B6" s="1">
        <f>LEN(B4)</f>
        <v>11</v>
      </c>
      <c r="C6" s="1" t="s">
        <v>37</v>
      </c>
      <c r="D6" s="1" t="s">
        <v>42</v>
      </c>
      <c r="F6" s="27" t="str">
        <f>TRIM(MID(Text_Input, FIND(D6,Text_Input)+LEN(D6), IFERROR(FIND(IF(E6="",CHAR(10),E6),Text_Input,FIND(D6,Text_Input)+LEN(D6)),LEN(Text_Input)+1)-FIND(D6,Text_Input)-LEN(D6)))</f>
        <v>C. Doe</v>
      </c>
    </row>
    <row r="7" spans="1:6" x14ac:dyDescent="0.25">
      <c r="A7" s="1" t="s">
        <v>45</v>
      </c>
      <c r="B7" s="1" t="str">
        <f>UPPER(B4)</f>
        <v>JOHN C. DOE</v>
      </c>
      <c r="C7" s="1" t="s">
        <v>37</v>
      </c>
      <c r="E7" s="1" t="s">
        <v>43</v>
      </c>
      <c r="F7" s="27" t="str">
        <f>TRIM(MID(Text_Input, FIND(D7,Text_Input)+LEN(D7), IFERROR(FIND(IF(E7="",CHAR(10),E7),Text_Input,FIND(D7,Text_Input)+LEN(D7)),LEN(Text_Input)+1)-FIND(D7,Text_Input)-LEN(D7)))</f>
        <v>John C.</v>
      </c>
    </row>
    <row r="8" spans="1:6" x14ac:dyDescent="0.25">
      <c r="A8" s="1" t="s">
        <v>46</v>
      </c>
      <c r="B8" s="1" t="str">
        <f>LOWER(B4)</f>
        <v>john c. doe</v>
      </c>
      <c r="C8" s="1" t="s">
        <v>37</v>
      </c>
      <c r="D8" s="1" t="s">
        <v>47</v>
      </c>
      <c r="F8" s="27" t="str">
        <f>TRIM(MID(Text_Input, FIND(D8,Text_Input)+LEN(D8), IFERROR(FIND(IF(E8="",CHAR(10),E8),Text_Input,FIND(D8,Text_Input)+LEN(D8)),LEN(Text_Input)+1)-FIND(D8,Text_Input)-LEN(D8)))</f>
        <v>Doe</v>
      </c>
    </row>
    <row r="9" spans="1:6" x14ac:dyDescent="0.25">
      <c r="C9" s="1" t="s">
        <v>37</v>
      </c>
      <c r="F9" s="27" t="str">
        <f>TRIM(MID(Text_Input, FIND(D9,Text_Input)+LEN(D9), IFERROR(FIND(IF(E9="",CHAR(10),E9),Text_Input,FIND(D9,Text_Input)+LEN(D9)),LEN(Text_Input)+1)-FIND(D9,Text_Input)-LEN(D9)))</f>
        <v>John C. Doe</v>
      </c>
    </row>
    <row r="10" spans="1:6" x14ac:dyDescent="0.25">
      <c r="A10" s="1" t="s">
        <v>48</v>
      </c>
      <c r="B10" s="1" t="s">
        <v>42</v>
      </c>
      <c r="C10" s="1" t="s">
        <v>37</v>
      </c>
    </row>
    <row r="11" spans="1:6" x14ac:dyDescent="0.25">
      <c r="A11" s="1" t="s">
        <v>49</v>
      </c>
      <c r="B11" s="1" t="s">
        <v>50</v>
      </c>
      <c r="C11" s="1" t="s">
        <v>37</v>
      </c>
    </row>
    <row r="12" spans="1:6" x14ac:dyDescent="0.25">
      <c r="A12" s="1" t="s">
        <v>51</v>
      </c>
      <c r="B12" s="1" t="str">
        <f>SUBSTITUTE(Text_Input, B10, B11)</f>
        <v>Mary C. Doe</v>
      </c>
      <c r="C12" s="1" t="s">
        <v>37</v>
      </c>
    </row>
    <row r="13" spans="1:6" x14ac:dyDescent="0.25">
      <c r="A13" s="1" t="s">
        <v>52</v>
      </c>
      <c r="B13" s="1" t="b">
        <f ca="1">IF(IFERROR(FIND(B10,_xlfn.SINGLE( Text_Input)), FALSE), TRUE, FALSE)</f>
        <v>0</v>
      </c>
      <c r="C13" s="1" t="s">
        <v>37</v>
      </c>
    </row>
    <row r="14" spans="1:6" x14ac:dyDescent="0.25">
      <c r="C14" s="1" t="s">
        <v>37</v>
      </c>
    </row>
    <row r="15" spans="1:6" x14ac:dyDescent="0.25">
      <c r="A15" s="1" t="s">
        <v>53</v>
      </c>
      <c r="B15" s="1" t="str">
        <f>LEFT(Text_Input, LEN(Text_Input)-LEN(LastName)-1)</f>
        <v>John C.</v>
      </c>
      <c r="C15" s="1" t="s">
        <v>37</v>
      </c>
    </row>
    <row r="16" spans="1:6" x14ac:dyDescent="0.25">
      <c r="A16" s="1" t="s">
        <v>54</v>
      </c>
      <c r="B16" s="1" t="str">
        <f>TRIM(RIGHT(SUBSTITUTE(B4," ",REPT(" ",LEN(B4))),LEN(B4)))</f>
        <v>Doe</v>
      </c>
      <c r="C16" s="1" t="s">
        <v>37</v>
      </c>
    </row>
    <row r="17" spans="3:3" x14ac:dyDescent="0.25">
      <c r="C17" s="1" t="s">
        <v>37</v>
      </c>
    </row>
  </sheetData>
  <mergeCells count="2">
    <mergeCell ref="A1:F1"/>
    <mergeCell ref="A2:F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B42B8-DFDD-4B68-9FEB-2EB6E5E33D10}">
  <dimension ref="A1:E15"/>
  <sheetViews>
    <sheetView workbookViewId="0">
      <selection activeCell="B4" sqref="B4"/>
    </sheetView>
  </sheetViews>
  <sheetFormatPr defaultRowHeight="15" x14ac:dyDescent="0.25"/>
  <cols>
    <col min="1" max="1" width="24.7109375" style="1" customWidth="1"/>
    <col min="2" max="2" width="25.7109375" style="1" customWidth="1"/>
    <col min="3" max="3" width="9.140625" style="1"/>
    <col min="4" max="4" width="20.85546875" style="1" bestFit="1" customWidth="1"/>
    <col min="5" max="5" width="15.85546875" style="1" customWidth="1"/>
    <col min="6" max="16384" width="9.140625" style="1"/>
  </cols>
  <sheetData>
    <row r="1" spans="1:5" ht="18.75" x14ac:dyDescent="0.25">
      <c r="A1" s="2" t="s">
        <v>55</v>
      </c>
      <c r="B1" s="2"/>
      <c r="C1" s="28"/>
      <c r="D1" s="28"/>
    </row>
    <row r="2" spans="1:5" ht="15" customHeight="1" x14ac:dyDescent="0.25">
      <c r="A2" s="3" t="s">
        <v>56</v>
      </c>
      <c r="B2" s="3"/>
      <c r="C2" s="29"/>
      <c r="D2" s="29"/>
    </row>
    <row r="3" spans="1:5" x14ac:dyDescent="0.25">
      <c r="A3" s="29"/>
      <c r="B3" s="29"/>
      <c r="C3" s="29"/>
      <c r="D3" s="29"/>
    </row>
    <row r="4" spans="1:5" x14ac:dyDescent="0.25">
      <c r="A4" s="1" t="s">
        <v>57</v>
      </c>
      <c r="B4" s="26">
        <v>3.1415929999999999</v>
      </c>
    </row>
    <row r="5" spans="1:5" x14ac:dyDescent="0.25">
      <c r="A5" s="1" t="s">
        <v>58</v>
      </c>
      <c r="B5" s="1">
        <f>VALUE(TRIM(SUBSTITUTE(SUBSTITUTE(SUBSTITUTE(Number_Input, CHAR(13), ""), CHAR(10), ""), CHAR(160), "")))</f>
        <v>3.1415929999999999</v>
      </c>
    </row>
    <row r="6" spans="1:5" x14ac:dyDescent="0.25">
      <c r="A6" s="1" t="s">
        <v>59</v>
      </c>
      <c r="B6" s="1">
        <f>INT(CleanNumber)</f>
        <v>3</v>
      </c>
    </row>
    <row r="7" spans="1:5" x14ac:dyDescent="0.25">
      <c r="A7" s="1" t="s">
        <v>60</v>
      </c>
      <c r="B7" s="1">
        <f>INT(CleanNumber*100)/100</f>
        <v>3.14</v>
      </c>
    </row>
    <row r="8" spans="1:5" ht="15.75" thickBot="1" x14ac:dyDescent="0.3"/>
    <row r="9" spans="1:5" ht="15.75" thickBot="1" x14ac:dyDescent="0.3">
      <c r="A9" s="10" t="s">
        <v>61</v>
      </c>
      <c r="B9" s="12"/>
    </row>
    <row r="10" spans="1:5" x14ac:dyDescent="0.25">
      <c r="A10" s="13" t="s">
        <v>14</v>
      </c>
      <c r="B10" s="14"/>
    </row>
    <row r="11" spans="1:5" x14ac:dyDescent="0.25">
      <c r="A11" s="15" t="s">
        <v>15</v>
      </c>
      <c r="B11" s="14" t="s">
        <v>62</v>
      </c>
    </row>
    <row r="12" spans="1:5" x14ac:dyDescent="0.25">
      <c r="A12" s="15" t="s">
        <v>63</v>
      </c>
      <c r="B12" s="14" t="s">
        <v>64</v>
      </c>
      <c r="E12" s="30"/>
    </row>
    <row r="13" spans="1:5" x14ac:dyDescent="0.25">
      <c r="A13" s="15" t="s">
        <v>65</v>
      </c>
      <c r="B13" s="14" t="s">
        <v>66</v>
      </c>
    </row>
    <row r="14" spans="1:5" x14ac:dyDescent="0.25">
      <c r="A14" s="19" t="s">
        <v>30</v>
      </c>
      <c r="B14" s="14"/>
    </row>
    <row r="15" spans="1:5" ht="15.75" thickBot="1" x14ac:dyDescent="0.3">
      <c r="A15" s="21" t="s">
        <v>67</v>
      </c>
      <c r="B15" s="31">
        <f>IF(B12&lt;&gt;"",IF(B13&lt;&gt;"",_xlfn.NUMBERVALUE(B11, B12, B13),_xlfn.NUMBERVALUE(B11, B12)),IF(B13&lt;&gt;"",_xlfn.NUMBERVALUE(B11,, B13),_xlfn.NUMBERVALUE(B11)))</f>
        <v>123456.78</v>
      </c>
    </row>
  </sheetData>
  <mergeCells count="3">
    <mergeCell ref="A1:B1"/>
    <mergeCell ref="A2:B2"/>
    <mergeCell ref="A9:B9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DD255-FF03-4F91-92BB-AF667B566380}">
  <dimension ref="A1:D15"/>
  <sheetViews>
    <sheetView workbookViewId="0">
      <selection activeCell="B6" sqref="B6"/>
    </sheetView>
  </sheetViews>
  <sheetFormatPr defaultRowHeight="15" x14ac:dyDescent="0.25"/>
  <cols>
    <col min="1" max="1" width="32.42578125" style="1" bestFit="1" customWidth="1"/>
    <col min="2" max="2" width="42" style="1" customWidth="1"/>
    <col min="3" max="4" width="15.140625" style="1" customWidth="1"/>
    <col min="5" max="16384" width="9.140625" style="1"/>
  </cols>
  <sheetData>
    <row r="1" spans="1:4" ht="18.75" x14ac:dyDescent="0.25">
      <c r="A1" s="2" t="s">
        <v>68</v>
      </c>
      <c r="B1" s="2"/>
      <c r="C1" s="28"/>
      <c r="D1" s="28"/>
    </row>
    <row r="2" spans="1:4" ht="15" customHeight="1" x14ac:dyDescent="0.25">
      <c r="A2" s="3" t="s">
        <v>69</v>
      </c>
      <c r="B2" s="3"/>
      <c r="C2" s="29"/>
      <c r="D2" s="29"/>
    </row>
    <row r="3" spans="1:4" ht="15.75" thickBot="1" x14ac:dyDescent="0.3">
      <c r="A3" s="29"/>
      <c r="B3" s="29"/>
      <c r="C3" s="29"/>
      <c r="D3" s="29"/>
    </row>
    <row r="4" spans="1:4" ht="15.75" customHeight="1" thickBot="1" x14ac:dyDescent="0.3">
      <c r="A4" s="10" t="s">
        <v>70</v>
      </c>
      <c r="B4" s="12"/>
    </row>
    <row r="5" spans="1:4" ht="15.75" thickBot="1" x14ac:dyDescent="0.3">
      <c r="A5" s="13" t="s">
        <v>71</v>
      </c>
      <c r="B5" s="14"/>
    </row>
    <row r="6" spans="1:4" x14ac:dyDescent="0.25">
      <c r="A6" s="32" t="s">
        <v>72</v>
      </c>
      <c r="B6" s="33" t="s">
        <v>73</v>
      </c>
    </row>
    <row r="7" spans="1:4" x14ac:dyDescent="0.25">
      <c r="A7" s="13" t="s">
        <v>30</v>
      </c>
      <c r="B7" s="14"/>
    </row>
    <row r="8" spans="1:4" x14ac:dyDescent="0.25">
      <c r="A8" s="15" t="s">
        <v>72</v>
      </c>
      <c r="B8" s="14" t="str">
        <f>TRIM(RIGHT(SUBSTITUTE(B6,"\",REPT(" ",LEN(B6))),LEN(B6)))</f>
        <v>Untitled Document.docx</v>
      </c>
    </row>
    <row r="9" spans="1:4" x14ac:dyDescent="0.25">
      <c r="A9" s="15" t="s">
        <v>74</v>
      </c>
      <c r="B9" s="14" t="str">
        <f>TRIM(RIGHT(SUBSTITUTE(B8,".",REPT(" ",LEN(B8))),LEN(B8)))</f>
        <v>docx</v>
      </c>
    </row>
    <row r="10" spans="1:4" x14ac:dyDescent="0.25">
      <c r="A10" s="15" t="s">
        <v>75</v>
      </c>
      <c r="B10" s="14" t="str">
        <f>LEFT(B8, LEN(B8)-LEN(B9)-1)</f>
        <v>Untitled Document</v>
      </c>
    </row>
    <row r="11" spans="1:4" ht="15.75" thickBot="1" x14ac:dyDescent="0.3">
      <c r="A11" s="21" t="s">
        <v>76</v>
      </c>
      <c r="B11" s="24" t="str">
        <f>LEFT(B6, LEN(B6)-LEN(B8))</f>
        <v>C:\temp\</v>
      </c>
    </row>
    <row r="15" spans="1:4" x14ac:dyDescent="0.25">
      <c r="A15" s="1" t="s">
        <v>77</v>
      </c>
      <c r="B15" s="1" t="str">
        <f>FileNameNoExtension &amp; "." &amp; FileExtension</f>
        <v>Untitled Document.docx</v>
      </c>
    </row>
  </sheetData>
  <mergeCells count="3">
    <mergeCell ref="A1:B1"/>
    <mergeCell ref="A2:B2"/>
    <mergeCell ref="A4:B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812-D50E-4938-ABE3-AF558E6DC992}">
  <dimension ref="A1"/>
  <sheetViews>
    <sheetView tabSelected="1" workbookViewId="0"/>
  </sheetViews>
  <sheetFormatPr defaultRowHeight="15" x14ac:dyDescent="0.25"/>
  <cols>
    <col min="1" max="1" width="29.7109375" style="1" customWidth="1"/>
    <col min="2" max="2" width="23.5703125" style="1" customWidth="1"/>
    <col min="3" max="16384" width="9.140625" style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42</vt:i4>
      </vt:variant>
    </vt:vector>
  </HeadingPairs>
  <TitlesOfParts>
    <vt:vector size="48" baseType="lpstr">
      <vt:lpstr>Scratchpad</vt:lpstr>
      <vt:lpstr>Date</vt:lpstr>
      <vt:lpstr>Text</vt:lpstr>
      <vt:lpstr>Number</vt:lpstr>
      <vt:lpstr>File</vt:lpstr>
      <vt:lpstr>Scratchpad (2)</vt:lpstr>
      <vt:lpstr>_A1</vt:lpstr>
      <vt:lpstr>_A2</vt:lpstr>
      <vt:lpstr>_A3</vt:lpstr>
      <vt:lpstr>CleanNumber</vt:lpstr>
      <vt:lpstr>Contains</vt:lpstr>
      <vt:lpstr>Date_Input</vt:lpstr>
      <vt:lpstr>DatePlusDays</vt:lpstr>
      <vt:lpstr>DatePlusWorkingDays</vt:lpstr>
      <vt:lpstr>DateText</vt:lpstr>
      <vt:lpstr>Days</vt:lpstr>
      <vt:lpstr>FileExtension</vt:lpstr>
      <vt:lpstr>FileName</vt:lpstr>
      <vt:lpstr>FileNameNoExtension</vt:lpstr>
      <vt:lpstr>FirstName</vt:lpstr>
      <vt:lpstr>Folder</vt:lpstr>
      <vt:lpstr>FullFileName_Input</vt:lpstr>
      <vt:lpstr>Int</vt:lpstr>
      <vt:lpstr>LastMonthEndDate</vt:lpstr>
      <vt:lpstr>LastMonthStartDate</vt:lpstr>
      <vt:lpstr>LastName</vt:lpstr>
      <vt:lpstr>LastWeekFriday</vt:lpstr>
      <vt:lpstr>LastWeekMonday</vt:lpstr>
      <vt:lpstr>LastWeekSunday</vt:lpstr>
      <vt:lpstr>Length</vt:lpstr>
      <vt:lpstr>LowerCase</vt:lpstr>
      <vt:lpstr>Number_Input</vt:lpstr>
      <vt:lpstr>NumberText_Input</vt:lpstr>
      <vt:lpstr>preferred_date_format</vt:lpstr>
      <vt:lpstr>ReformattedDate</vt:lpstr>
      <vt:lpstr>ReformattedFileName</vt:lpstr>
      <vt:lpstr>ReformattedNumber</vt:lpstr>
      <vt:lpstr>Replace</vt:lpstr>
      <vt:lpstr>Result</vt:lpstr>
      <vt:lpstr>Search</vt:lpstr>
      <vt:lpstr>Text_Input</vt:lpstr>
      <vt:lpstr>ThisMonthFirstWorkingDay</vt:lpstr>
      <vt:lpstr>ThisMonthLastWorkingDay</vt:lpstr>
      <vt:lpstr>Today</vt:lpstr>
      <vt:lpstr>Trimmed</vt:lpstr>
      <vt:lpstr>TwoDecimals</vt:lpstr>
      <vt:lpstr>UpperCase</vt:lpstr>
      <vt:lpstr>YYYYMMDD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OLIWER</cp:lastModifiedBy>
  <dcterms:created xsi:type="dcterms:W3CDTF">2015-01-15T16:55:01Z</dcterms:created>
  <dcterms:modified xsi:type="dcterms:W3CDTF">2023-01-19T03:28:43Z</dcterms:modified>
</cp:coreProperties>
</file>